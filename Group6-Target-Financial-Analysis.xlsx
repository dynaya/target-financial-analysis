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showInkAnnotation="0"/>
  <mc:AlternateContent xmlns:mc="http://schemas.openxmlformats.org/markup-compatibility/2006">
    <mc:Choice Requires="x15">
      <x15ac:absPath xmlns:x15ac="http://schemas.microsoft.com/office/spreadsheetml/2010/11/ac" url="/var/mobile/Containers/Data/Application/E2BC5381-C185-467D-95E4-282C10C40403/Library/Application Support/Drafts/"/>
    </mc:Choice>
  </mc:AlternateContent>
  <xr:revisionPtr revIDLastSave="0" documentId="8_{FCC42AB5-0A9C-4877-8B91-B3C444B822A2}" xr6:coauthVersionLast="47" xr6:coauthVersionMax="47" xr10:uidLastSave="{00000000-0000-0000-0000-000000000000}"/>
  <bookViews>
    <workbookView xWindow="0" yWindow="0" windowWidth="0" windowHeight="0" firstSheet="5" activeTab="5" xr2:uid="{00000000-000D-0000-FFFF-FFFF00000000}"/>
  </bookViews>
  <sheets>
    <sheet name="Financial Data" sheetId="3" r:id="rId1"/>
    <sheet name="Liquidity" sheetId="4" r:id="rId2"/>
    <sheet name="Efficiency" sheetId="5" r:id="rId3"/>
    <sheet name="Profitability" sheetId="7" r:id="rId4"/>
    <sheet name="Market" sheetId="8" r:id="rId5"/>
    <sheet name="DuPont" sheetId="10" r:id="rId6"/>
    <sheet name="Debt 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0" l="1"/>
  <c r="D5" i="10"/>
  <c r="E5" i="10"/>
  <c r="F5" i="10"/>
  <c r="B5" i="10"/>
  <c r="C3" i="10"/>
  <c r="D3" i="10"/>
  <c r="E3" i="10"/>
  <c r="F3" i="10"/>
  <c r="C2" i="10"/>
  <c r="D2" i="10"/>
  <c r="E2" i="10"/>
  <c r="F2" i="10"/>
  <c r="B3" i="10"/>
  <c r="B2" i="10"/>
  <c r="C6" i="10"/>
  <c r="D6" i="10"/>
  <c r="E6" i="10"/>
  <c r="F6" i="10"/>
  <c r="C4" i="10"/>
  <c r="C7" i="10" s="1"/>
  <c r="D4" i="10"/>
  <c r="D7" i="10" s="1"/>
  <c r="E4" i="10"/>
  <c r="E7" i="10" s="1"/>
  <c r="F4" i="10"/>
  <c r="F7" i="10" s="1"/>
  <c r="B6" i="10"/>
  <c r="B4" i="10"/>
  <c r="B7" i="10" s="1"/>
  <c r="B13" i="9"/>
  <c r="C15" i="9"/>
  <c r="D15" i="9"/>
  <c r="E15" i="9"/>
  <c r="F15" i="9"/>
  <c r="B15" i="9"/>
  <c r="C12" i="9"/>
  <c r="D12" i="9"/>
  <c r="E12" i="9"/>
  <c r="F12" i="9"/>
  <c r="B12" i="9"/>
  <c r="F14" i="8"/>
  <c r="E14" i="8"/>
  <c r="D14" i="8"/>
  <c r="C14" i="8"/>
  <c r="B14" i="8"/>
  <c r="F13" i="8"/>
  <c r="F16" i="8" s="1"/>
  <c r="E13" i="8"/>
  <c r="E16" i="8" s="1"/>
  <c r="D13" i="8"/>
  <c r="D16" i="8" s="1"/>
  <c r="C13" i="8"/>
  <c r="C16" i="8" s="1"/>
  <c r="B13" i="8"/>
  <c r="B16" i="8" s="1"/>
  <c r="F12" i="8"/>
  <c r="F15" i="8" s="1"/>
  <c r="E12" i="8"/>
  <c r="E15" i="8" s="1"/>
  <c r="D12" i="8"/>
  <c r="D15" i="8" s="1"/>
  <c r="C12" i="8"/>
  <c r="C15" i="8" s="1"/>
  <c r="B12" i="8"/>
  <c r="B15" i="8" s="1"/>
  <c r="C11" i="5"/>
  <c r="D11" i="5"/>
  <c r="E11" i="5"/>
  <c r="F11" i="5"/>
  <c r="B11" i="5"/>
  <c r="C10" i="5"/>
  <c r="D10" i="5"/>
  <c r="E10" i="5"/>
  <c r="F10" i="5"/>
  <c r="B10" i="5"/>
  <c r="C9" i="5"/>
  <c r="D9" i="5"/>
  <c r="E9" i="5"/>
  <c r="F9" i="5"/>
  <c r="B9" i="5"/>
  <c r="C8" i="5"/>
  <c r="D8" i="5"/>
  <c r="E8" i="5"/>
  <c r="F8" i="5"/>
  <c r="B8" i="5"/>
  <c r="C7" i="5"/>
  <c r="D7" i="5"/>
  <c r="E7" i="5"/>
  <c r="F7" i="5"/>
  <c r="B7" i="5"/>
  <c r="C6" i="5"/>
  <c r="D6" i="5"/>
  <c r="E6" i="5"/>
  <c r="F6" i="5"/>
  <c r="B6" i="5"/>
  <c r="C5" i="5"/>
  <c r="D5" i="5"/>
  <c r="E5" i="5"/>
  <c r="F5" i="5"/>
  <c r="B5" i="5"/>
  <c r="F4" i="5"/>
  <c r="E4" i="5"/>
  <c r="D4" i="5"/>
  <c r="C4" i="5"/>
  <c r="B4" i="5"/>
  <c r="F3" i="5"/>
  <c r="E3" i="5"/>
  <c r="D3" i="5"/>
  <c r="C3" i="5"/>
  <c r="B3" i="5"/>
  <c r="B6" i="3"/>
  <c r="C8" i="7"/>
  <c r="D8" i="7"/>
  <c r="E8" i="7"/>
  <c r="F8" i="7"/>
  <c r="C7" i="7"/>
  <c r="D7" i="7"/>
  <c r="E7" i="7"/>
  <c r="F7" i="7"/>
  <c r="C6" i="7"/>
  <c r="D6" i="7"/>
  <c r="E6" i="7"/>
  <c r="F6" i="7"/>
  <c r="C5" i="7"/>
  <c r="D5" i="7"/>
  <c r="E5" i="7"/>
  <c r="F5" i="7"/>
  <c r="B8" i="7"/>
  <c r="B7" i="7"/>
  <c r="B6" i="7"/>
  <c r="B5" i="7"/>
  <c r="C4" i="7"/>
  <c r="D4" i="7"/>
  <c r="E4" i="7"/>
  <c r="F4" i="7"/>
  <c r="B4" i="7"/>
  <c r="C5" i="4"/>
  <c r="D5" i="4"/>
  <c r="E5" i="4"/>
  <c r="F5" i="4"/>
  <c r="B5" i="4"/>
  <c r="C4" i="4"/>
  <c r="D4" i="4"/>
  <c r="E4" i="4"/>
  <c r="F4" i="4"/>
  <c r="B4" i="4"/>
  <c r="C3" i="4"/>
  <c r="D3" i="4"/>
  <c r="E3" i="4"/>
  <c r="F3" i="4"/>
  <c r="B3" i="4"/>
  <c r="G6" i="3"/>
  <c r="F3" i="7" s="1"/>
  <c r="F6" i="3"/>
  <c r="E3" i="7" s="1"/>
  <c r="E6" i="3"/>
  <c r="D3" i="7" s="1"/>
  <c r="D6" i="3"/>
  <c r="C3" i="7" s="1"/>
  <c r="C6" i="3"/>
  <c r="B3" i="7" s="1"/>
  <c r="B14" i="9" l="1"/>
  <c r="F14" i="9"/>
  <c r="F13" i="9"/>
  <c r="E14" i="9"/>
  <c r="E13" i="9"/>
  <c r="D14" i="9"/>
  <c r="D13" i="9"/>
  <c r="C14" i="9"/>
  <c r="C13" i="9"/>
</calcChain>
</file>

<file path=xl/sharedStrings.xml><?xml version="1.0" encoding="utf-8"?>
<sst xmlns="http://schemas.openxmlformats.org/spreadsheetml/2006/main" count="99" uniqueCount="90">
  <si>
    <t>Target Corporation ($ millions)</t>
  </si>
  <si>
    <t>Income Statement</t>
  </si>
  <si>
    <t>Sales</t>
  </si>
  <si>
    <t>Cost of Sales</t>
  </si>
  <si>
    <t>Gross Profit</t>
  </si>
  <si>
    <t>Operating Income</t>
  </si>
  <si>
    <t>Net Earnings</t>
  </si>
  <si>
    <t>Net Interest Expense</t>
  </si>
  <si>
    <t>Balance Sheet</t>
  </si>
  <si>
    <t>Cash &amp; Cash Equivalents</t>
  </si>
  <si>
    <t>Inventory</t>
  </si>
  <si>
    <t>Other Current Assets</t>
  </si>
  <si>
    <t>Total Current Assets</t>
  </si>
  <si>
    <t>Total Current Libailities</t>
  </si>
  <si>
    <t>Total Assets</t>
  </si>
  <si>
    <t>Shareholders' Equity</t>
  </si>
  <si>
    <t>Accounts Payable</t>
  </si>
  <si>
    <t>Current Debt/Borrowings</t>
  </si>
  <si>
    <t>Source: Target Corporation Forms 10-K, SEC EDGAR, fiscal years 2020-2024</t>
  </si>
  <si>
    <t>Liquidity Ratios</t>
  </si>
  <si>
    <t>Current Ratio</t>
  </si>
  <si>
    <t>Acid Test Ratio</t>
  </si>
  <si>
    <t>Cash Ratio</t>
  </si>
  <si>
    <t>Efficiency Ratios</t>
  </si>
  <si>
    <t>Total Asset Turnover</t>
  </si>
  <si>
    <t>Inventory Turnover</t>
  </si>
  <si>
    <t>Days Inventory Outstanding</t>
  </si>
  <si>
    <t>Accounts Receivable Turnover</t>
  </si>
  <si>
    <t>Average Collection Period</t>
  </si>
  <si>
    <t>Accounts Payable Turnover</t>
  </si>
  <si>
    <t>Average Payment Period</t>
  </si>
  <si>
    <t>Operating Cycle</t>
  </si>
  <si>
    <t>Cash Conversion Cycle</t>
  </si>
  <si>
    <t>Profitability Ratios</t>
  </si>
  <si>
    <t>Gross Profit Margin</t>
  </si>
  <si>
    <t>Operating Profit Margin</t>
  </si>
  <si>
    <t>Net Profit Margin</t>
  </si>
  <si>
    <t>Operating Return on Assets</t>
  </si>
  <si>
    <t>Return on Equity (ROE)</t>
  </si>
  <si>
    <t>Return on Assets (ROA)</t>
  </si>
  <si>
    <t>Market Ratios</t>
  </si>
  <si>
    <t>FY2020</t>
  </si>
  <si>
    <t>FY2021</t>
  </si>
  <si>
    <t>FY2022</t>
  </si>
  <si>
    <t>FY2023</t>
  </si>
  <si>
    <t>Price date</t>
  </si>
  <si>
    <t>Jan 29th, 2021</t>
  </si>
  <si>
    <t>Jan 28th, 2022</t>
  </si>
  <si>
    <t>Jan 27th, 2023</t>
  </si>
  <si>
    <t>Feb 2,2024</t>
  </si>
  <si>
    <t>Jan 31,2025</t>
  </si>
  <si>
    <t>Stock price</t>
  </si>
  <si>
    <t xml:space="preserve">Diluted EPS </t>
  </si>
  <si>
    <t>Outstanding shares</t>
  </si>
  <si>
    <t>Total  stockholders equity</t>
  </si>
  <si>
    <t>Calculations</t>
  </si>
  <si>
    <t>Formula</t>
  </si>
  <si>
    <t>Book value per share</t>
  </si>
  <si>
    <t>stockholder's equity/ outstanding shares</t>
  </si>
  <si>
    <t>Market cap ( millions)</t>
  </si>
  <si>
    <t>Stock price * outstanding shares</t>
  </si>
  <si>
    <t>Price to earning</t>
  </si>
  <si>
    <t>stock price / diluted EPS</t>
  </si>
  <si>
    <t>price to book</t>
  </si>
  <si>
    <t>Stock price/ Book value per share</t>
  </si>
  <si>
    <t>Market to book</t>
  </si>
  <si>
    <t>Market cap / Stockholder's equity</t>
  </si>
  <si>
    <t xml:space="preserve">Sources </t>
  </si>
  <si>
    <t>Target Corporation Forms 10-K, fiscal years 2020–2024, SEC EDGAR</t>
  </si>
  <si>
    <t>Yahoo finance ( closing stock prices)</t>
  </si>
  <si>
    <t>DuPont Analysis</t>
  </si>
  <si>
    <t>Profit Margin</t>
  </si>
  <si>
    <t>Return on Assets</t>
  </si>
  <si>
    <t>Debt/Assets</t>
  </si>
  <si>
    <t>1-Debt/Assets</t>
  </si>
  <si>
    <t>Return on Equity</t>
  </si>
  <si>
    <t>Debt Analysis</t>
  </si>
  <si>
    <t>Total assets ( millions)</t>
  </si>
  <si>
    <t xml:space="preserve">Total current liabilites </t>
  </si>
  <si>
    <t>Stockholders equity</t>
  </si>
  <si>
    <t>Operating income</t>
  </si>
  <si>
    <t xml:space="preserve">Net interest expense </t>
  </si>
  <si>
    <t>Total liabilities</t>
  </si>
  <si>
    <t>Total assets- stockholder equity</t>
  </si>
  <si>
    <t>Debt ratio</t>
  </si>
  <si>
    <t>total liabilities / total assets</t>
  </si>
  <si>
    <t>Short term debt ratio</t>
  </si>
  <si>
    <t>Total current liabilities / total liabilities</t>
  </si>
  <si>
    <t>Times intrest earned</t>
  </si>
  <si>
    <t>operationg income / net intrest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</si>
</sst>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0.0%"/>
  </numFmts>
  <fonts count="17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b/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b/>
      <sz val="14"/>
      <color theme="1"/>
      <name val="Times New Roman"/>
    </font>
    <font>
      <b/>
      <sz val="11"/>
      <color rgb="FF000000"/>
      <name val="Aptos Narrow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rial"/>
      <family val="2"/>
    </font>
    <font>
      <sz val="11"/>
      <color rgb="FF000000"/>
      <name val="Aptos Narrow"/>
      <scheme val="minor"/>
    </font>
    <font>
      <b/>
      <sz val="12"/>
      <color rgb="FF000000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9"/>
      <color rgb="FF374151"/>
      <name val="Aptos Narrow"/>
      <scheme val="minor"/>
    </font>
    <font>
      <b/>
      <sz val="14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3" fontId="0" fillId="0" borderId="0" xfId="0" applyNumberFormat="1"/>
    <xf numFmtId="0" fontId="2" fillId="0" borderId="0" xfId="0" applyFont="1"/>
    <xf numFmtId="0" fontId="3" fillId="0" borderId="0" xfId="0" applyFont="1"/>
    <xf numFmtId="3" fontId="1" fillId="0" borderId="0" xfId="0" applyNumberFormat="1" applyFont="1"/>
    <xf numFmtId="0" fontId="4" fillId="0" borderId="0" xfId="0" applyFont="1"/>
    <xf numFmtId="0" fontId="5" fillId="0" borderId="0" xfId="0" applyFont="1"/>
    <xf numFmtId="10" fontId="4" fillId="0" borderId="0" xfId="0" applyNumberFormat="1" applyFont="1"/>
    <xf numFmtId="10" fontId="4" fillId="0" borderId="0" xfId="0" quotePrefix="1" applyNumberFormat="1" applyFont="1"/>
    <xf numFmtId="0" fontId="6" fillId="0" borderId="0" xfId="0" applyFont="1"/>
    <xf numFmtId="2" fontId="4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3" fontId="8" fillId="0" borderId="0" xfId="0" applyNumberFormat="1" applyFont="1"/>
    <xf numFmtId="2" fontId="10" fillId="0" borderId="0" xfId="0" applyNumberFormat="1" applyFont="1"/>
    <xf numFmtId="2" fontId="8" fillId="0" borderId="0" xfId="0" applyNumberFormat="1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8" fontId="13" fillId="0" borderId="0" xfId="0" applyNumberFormat="1" applyFont="1"/>
    <xf numFmtId="3" fontId="13" fillId="0" borderId="0" xfId="0" applyNumberFormat="1" applyFont="1"/>
    <xf numFmtId="2" fontId="13" fillId="0" borderId="0" xfId="0" applyNumberFormat="1" applyFont="1"/>
    <xf numFmtId="2" fontId="15" fillId="0" borderId="0" xfId="0" applyNumberFormat="1" applyFont="1"/>
    <xf numFmtId="0" fontId="16" fillId="0" borderId="0" xfId="0" applyFont="1"/>
    <xf numFmtId="164" fontId="13" fillId="0" borderId="0" xfId="0" applyNumberFormat="1" applyFont="1"/>
    <xf numFmtId="0" fontId="1" fillId="0" borderId="0" xfId="0" applyFon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8E495-207D-4C4E-8D6D-5AA835FF9354}">
  <dimension ref="A1:G21"/>
  <sheetViews>
    <sheetView workbookViewId="0">
      <selection activeCell="B4" sqref="B4"/>
    </sheetView>
  </sheetViews>
  <sheetFormatPr defaultRowHeight="15"/>
  <cols>
    <col min="1" max="1" width="26.140625" customWidth="1"/>
    <col min="2" max="2" width="10" customWidth="1"/>
  </cols>
  <sheetData>
    <row r="1" spans="1:7">
      <c r="A1" s="2" t="s">
        <v>0</v>
      </c>
      <c r="B1" s="11">
        <v>2019</v>
      </c>
      <c r="C1" s="3">
        <v>2020</v>
      </c>
      <c r="D1" s="3">
        <v>2021</v>
      </c>
      <c r="E1" s="3">
        <v>2022</v>
      </c>
      <c r="F1" s="3">
        <v>2023</v>
      </c>
      <c r="G1" s="3">
        <v>2024</v>
      </c>
    </row>
    <row r="2" spans="1:7">
      <c r="B2" s="12"/>
    </row>
    <row r="3" spans="1:7">
      <c r="A3" s="3" t="s">
        <v>1</v>
      </c>
      <c r="B3" s="13"/>
    </row>
    <row r="4" spans="1:7">
      <c r="A4" t="s">
        <v>2</v>
      </c>
      <c r="B4" s="14">
        <v>77130</v>
      </c>
      <c r="C4" s="1">
        <v>92400</v>
      </c>
      <c r="D4" s="1">
        <v>104611</v>
      </c>
      <c r="E4" s="1">
        <v>107588</v>
      </c>
      <c r="F4" s="1">
        <v>105803</v>
      </c>
      <c r="G4" s="1">
        <v>106566</v>
      </c>
    </row>
    <row r="5" spans="1:7">
      <c r="A5" t="s">
        <v>3</v>
      </c>
      <c r="B5" s="14">
        <v>54864</v>
      </c>
      <c r="C5" s="1">
        <v>66177</v>
      </c>
      <c r="D5" s="1">
        <v>74963</v>
      </c>
      <c r="E5" s="1">
        <v>82229</v>
      </c>
      <c r="F5" s="1">
        <v>77736</v>
      </c>
      <c r="G5" s="1">
        <v>76502</v>
      </c>
    </row>
    <row r="6" spans="1:7">
      <c r="A6" t="s">
        <v>4</v>
      </c>
      <c r="B6" s="14">
        <f xml:space="preserve"> B4-B5</f>
        <v>22266</v>
      </c>
      <c r="C6" s="1">
        <f>C4-C5</f>
        <v>26223</v>
      </c>
      <c r="D6" s="1">
        <f>D4-D5</f>
        <v>29648</v>
      </c>
      <c r="E6" s="1">
        <f>E4-E5</f>
        <v>25359</v>
      </c>
      <c r="F6" s="1">
        <f>F4-F5</f>
        <v>28067</v>
      </c>
      <c r="G6" s="1">
        <f>G4-G5</f>
        <v>30064</v>
      </c>
    </row>
    <row r="7" spans="1:7">
      <c r="A7" t="s">
        <v>5</v>
      </c>
      <c r="B7" s="14">
        <v>4658</v>
      </c>
      <c r="C7" s="1">
        <v>6539</v>
      </c>
      <c r="D7" s="1">
        <v>8946</v>
      </c>
      <c r="E7" s="1">
        <v>3848</v>
      </c>
      <c r="F7" s="1">
        <v>5707</v>
      </c>
      <c r="G7" s="1">
        <v>5566</v>
      </c>
    </row>
    <row r="8" spans="1:7">
      <c r="A8" t="s">
        <v>6</v>
      </c>
      <c r="B8" s="14">
        <v>3281</v>
      </c>
      <c r="C8" s="1">
        <v>4368</v>
      </c>
      <c r="D8" s="1">
        <v>6946</v>
      </c>
      <c r="E8" s="1">
        <v>2780</v>
      </c>
      <c r="F8" s="1">
        <v>4138</v>
      </c>
      <c r="G8" s="1">
        <v>4091</v>
      </c>
    </row>
    <row r="9" spans="1:7">
      <c r="A9" t="s">
        <v>7</v>
      </c>
      <c r="B9" s="12">
        <v>477</v>
      </c>
      <c r="C9">
        <v>977</v>
      </c>
      <c r="D9">
        <v>421</v>
      </c>
      <c r="E9">
        <v>478</v>
      </c>
      <c r="F9">
        <v>502</v>
      </c>
      <c r="G9" s="1">
        <v>411</v>
      </c>
    </row>
    <row r="10" spans="1:7">
      <c r="A10" s="3" t="s">
        <v>8</v>
      </c>
      <c r="B10" s="13"/>
    </row>
    <row r="11" spans="1:7">
      <c r="A11" t="s">
        <v>9</v>
      </c>
      <c r="B11" s="14">
        <v>2577</v>
      </c>
      <c r="C11" s="1">
        <v>8511</v>
      </c>
      <c r="D11" s="1">
        <v>5911</v>
      </c>
      <c r="E11" s="1">
        <v>2229</v>
      </c>
      <c r="F11" s="1">
        <v>3805</v>
      </c>
      <c r="G11" s="4">
        <v>4762</v>
      </c>
    </row>
    <row r="12" spans="1:7">
      <c r="A12" t="s">
        <v>10</v>
      </c>
      <c r="B12" s="14">
        <v>8992</v>
      </c>
      <c r="C12" s="1">
        <v>10653</v>
      </c>
      <c r="D12" s="1">
        <v>13902</v>
      </c>
      <c r="E12" s="1">
        <v>13499</v>
      </c>
      <c r="F12" s="1">
        <v>11886</v>
      </c>
      <c r="G12" s="1">
        <v>12740</v>
      </c>
    </row>
    <row r="13" spans="1:7">
      <c r="A13" t="s">
        <v>11</v>
      </c>
      <c r="B13" s="14">
        <v>1333</v>
      </c>
      <c r="C13" s="1">
        <v>1592</v>
      </c>
      <c r="D13" s="1">
        <v>1760</v>
      </c>
      <c r="E13" s="1">
        <v>2118</v>
      </c>
      <c r="F13" s="1">
        <v>1807</v>
      </c>
      <c r="G13" s="1">
        <v>1952</v>
      </c>
    </row>
    <row r="14" spans="1:7">
      <c r="A14" t="s">
        <v>12</v>
      </c>
      <c r="B14" s="14">
        <v>12902</v>
      </c>
      <c r="C14" s="1">
        <v>20756</v>
      </c>
      <c r="D14" s="1">
        <v>21573</v>
      </c>
      <c r="E14" s="1">
        <v>17846</v>
      </c>
      <c r="F14" s="1">
        <v>17498</v>
      </c>
      <c r="G14" s="1">
        <v>19454</v>
      </c>
    </row>
    <row r="15" spans="1:7">
      <c r="A15" t="s">
        <v>13</v>
      </c>
      <c r="B15" s="14">
        <v>14487</v>
      </c>
      <c r="C15" s="1">
        <v>20125</v>
      </c>
      <c r="D15" s="1">
        <v>21747</v>
      </c>
      <c r="E15" s="1">
        <v>19500</v>
      </c>
      <c r="F15" s="1">
        <v>19304</v>
      </c>
      <c r="G15" s="1">
        <v>20799</v>
      </c>
    </row>
    <row r="16" spans="1:7">
      <c r="A16" t="s">
        <v>14</v>
      </c>
      <c r="B16" s="14">
        <v>42779</v>
      </c>
      <c r="C16" s="1">
        <v>51248</v>
      </c>
      <c r="D16" s="1">
        <v>53811</v>
      </c>
      <c r="E16" s="1">
        <v>53335</v>
      </c>
      <c r="F16" s="1">
        <v>55356</v>
      </c>
      <c r="G16" s="1">
        <v>57769</v>
      </c>
    </row>
    <row r="17" spans="1:7">
      <c r="A17" t="s">
        <v>15</v>
      </c>
      <c r="B17" s="14">
        <v>11833</v>
      </c>
      <c r="C17" s="1">
        <v>14440</v>
      </c>
      <c r="D17" s="1">
        <v>12827</v>
      </c>
      <c r="E17" s="1">
        <v>11232</v>
      </c>
      <c r="F17" s="1">
        <v>13432</v>
      </c>
      <c r="G17" s="1">
        <v>14666</v>
      </c>
    </row>
    <row r="18" spans="1:7">
      <c r="A18" t="s">
        <v>16</v>
      </c>
      <c r="B18" s="14">
        <v>9920</v>
      </c>
      <c r="C18" s="1">
        <v>12859</v>
      </c>
      <c r="D18" s="1">
        <v>15478</v>
      </c>
      <c r="E18" s="1">
        <v>13487</v>
      </c>
      <c r="F18" s="1">
        <v>12098</v>
      </c>
      <c r="G18" s="1">
        <v>13053</v>
      </c>
    </row>
    <row r="19" spans="1:7">
      <c r="A19" t="s">
        <v>17</v>
      </c>
      <c r="B19" s="12">
        <v>161</v>
      </c>
      <c r="C19" s="1">
        <v>1144</v>
      </c>
      <c r="D19">
        <v>171</v>
      </c>
      <c r="E19">
        <v>130</v>
      </c>
      <c r="F19" s="1">
        <v>1116</v>
      </c>
      <c r="G19" s="1">
        <v>1636</v>
      </c>
    </row>
    <row r="20" spans="1:7">
      <c r="B20" s="12"/>
    </row>
    <row r="21" spans="1:7">
      <c r="A21" t="s">
        <v>18</v>
      </c>
      <c r="B21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1C1B6-2018-4083-ACE7-0B5D16F1D61B}">
  <dimension ref="A1:F7"/>
  <sheetViews>
    <sheetView workbookViewId="0">
      <selection activeCell="A7" sqref="A7"/>
    </sheetView>
  </sheetViews>
  <sheetFormatPr defaultRowHeight="15"/>
  <cols>
    <col min="1" max="1" width="19.140625" customWidth="1"/>
  </cols>
  <sheetData>
    <row r="1" spans="1:6" ht="18.75">
      <c r="A1" s="9" t="s">
        <v>19</v>
      </c>
      <c r="B1" s="6">
        <v>2020</v>
      </c>
      <c r="C1" s="6">
        <v>2021</v>
      </c>
      <c r="D1" s="6">
        <v>2022</v>
      </c>
      <c r="E1" s="6">
        <v>2023</v>
      </c>
      <c r="F1" s="6">
        <v>2024</v>
      </c>
    </row>
    <row r="2" spans="1:6" ht="15.75">
      <c r="A2" s="5"/>
      <c r="B2" s="5"/>
      <c r="C2" s="5"/>
      <c r="D2" s="5"/>
      <c r="E2" s="5"/>
      <c r="F2" s="5"/>
    </row>
    <row r="3" spans="1:6" ht="15.75">
      <c r="A3" s="6" t="s">
        <v>20</v>
      </c>
      <c r="B3" s="10">
        <f>'Financial Data'!C14/'Financial Data'!C15</f>
        <v>1.0313540372670806</v>
      </c>
      <c r="C3" s="10">
        <f>'Financial Data'!D14/'Financial Data'!D15</f>
        <v>0.99199889639950334</v>
      </c>
      <c r="D3" s="10">
        <f>'Financial Data'!E14/'Financial Data'!E15</f>
        <v>0.91517948717948716</v>
      </c>
      <c r="E3" s="10">
        <f>'Financial Data'!F14/'Financial Data'!F15</f>
        <v>0.90644426025694158</v>
      </c>
      <c r="F3" s="10">
        <f>'Financial Data'!G14/'Financial Data'!G15</f>
        <v>0.93533342949180254</v>
      </c>
    </row>
    <row r="4" spans="1:6" ht="15.75">
      <c r="A4" s="6" t="s">
        <v>21</v>
      </c>
      <c r="B4" s="10">
        <f>('Financial Data'!C14-'Financial Data'!C12)/'Financial Data'!C15</f>
        <v>0.50201242236024846</v>
      </c>
      <c r="C4" s="10">
        <f>('Financial Data'!D14-'Financial Data'!D12)/'Financial Data'!D15</f>
        <v>0.35273830873223894</v>
      </c>
      <c r="D4" s="10">
        <f>('Financial Data'!E14-'Financial Data'!E12)/'Financial Data'!E15</f>
        <v>0.22292307692307692</v>
      </c>
      <c r="E4" s="10">
        <f>('Financial Data'!F14-'Financial Data'!F12)/'Financial Data'!F15</f>
        <v>0.29071694985495233</v>
      </c>
      <c r="F4" s="10">
        <f>('Financial Data'!G14-'Financial Data'!G12)/'Financial Data'!G15</f>
        <v>0.32280398096062313</v>
      </c>
    </row>
    <row r="5" spans="1:6" ht="15.75">
      <c r="A5" s="6" t="s">
        <v>22</v>
      </c>
      <c r="B5" s="10">
        <f>'Financial Data'!C11/'Financial Data'!C15</f>
        <v>0.42290683229813664</v>
      </c>
      <c r="C5" s="10">
        <f>'Financial Data'!D11/'Financial Data'!D15</f>
        <v>0.27180760564675588</v>
      </c>
      <c r="D5" s="10">
        <f>'Financial Data'!E11/'Financial Data'!E15</f>
        <v>0.1143076923076923</v>
      </c>
      <c r="E5" s="10">
        <f>'Financial Data'!F11/'Financial Data'!F15</f>
        <v>0.19710940737670948</v>
      </c>
      <c r="F5" s="10">
        <f>'Financial Data'!G11/'Financial Data'!G15</f>
        <v>0.22895331506322419</v>
      </c>
    </row>
    <row r="7" spans="1:6">
      <c r="A7" s="27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EA442-2F49-4277-9235-760B1702E116}">
  <dimension ref="A1:F13"/>
  <sheetViews>
    <sheetView workbookViewId="0">
      <selection activeCell="A13" sqref="A13"/>
    </sheetView>
  </sheetViews>
  <sheetFormatPr defaultRowHeight="15"/>
  <cols>
    <col min="1" max="1" width="32.5703125" customWidth="1"/>
    <col min="2" max="2" width="11.28515625" bestFit="1" customWidth="1"/>
    <col min="16384" max="16384" width="9.140625" bestFit="1" customWidth="1"/>
  </cols>
  <sheetData>
    <row r="1" spans="1:6" ht="18.75">
      <c r="A1" s="9" t="s">
        <v>23</v>
      </c>
      <c r="B1" s="6">
        <v>2020</v>
      </c>
      <c r="C1" s="6">
        <v>2021</v>
      </c>
      <c r="D1" s="6">
        <v>2022</v>
      </c>
      <c r="E1" s="6">
        <v>2023</v>
      </c>
      <c r="F1" s="6">
        <v>2024</v>
      </c>
    </row>
    <row r="3" spans="1:6" ht="15.75">
      <c r="A3" s="6" t="s">
        <v>24</v>
      </c>
      <c r="B3" s="15">
        <f>'Financial Data'!C4/ (('Financial Data'!C16 + 'Financial Data'!B16)/2)</f>
        <v>1.9653929190551651</v>
      </c>
      <c r="C3" s="16">
        <f>'Financial Data'!D4/ (('Financial Data'!D16 + 'Financial Data'!C16)/2)</f>
        <v>1.9914714588945259</v>
      </c>
      <c r="D3" s="16">
        <f>'Financial Data'!E4/ (('Financial Data'!E16 + 'Financial Data'!D16)/2)</f>
        <v>2.0082504246542103</v>
      </c>
      <c r="E3" s="16">
        <f>'Financial Data'!F4/ (('Financial Data'!F16 + 'Financial Data'!E16)/2)</f>
        <v>1.9468585255448934</v>
      </c>
      <c r="F3" s="16">
        <f>'Financial Data'!G4/ (('Financial Data'!G16 + 'Financial Data'!F16)/2)</f>
        <v>1.8840397790055248</v>
      </c>
    </row>
    <row r="4" spans="1:6" ht="15.75">
      <c r="A4" s="6" t="s">
        <v>25</v>
      </c>
      <c r="B4" s="16">
        <f>'Financial Data'!C5/ (('Financial Data'!C12 + 'Financial Data'!B12)/2)</f>
        <v>6.7372868414354796</v>
      </c>
      <c r="C4" s="16">
        <f>'Financial Data'!D5/ (('Financial Data'!D12 + 'Financial Data'!C12)/2)</f>
        <v>6.1057218489106084</v>
      </c>
      <c r="D4" s="16">
        <f>'Financial Data'!E5/ (('Financial Data'!E12 + 'Financial Data'!D12)/2)</f>
        <v>6.0018977409583592</v>
      </c>
      <c r="E4" s="16">
        <f>'Financial Data'!F5/ (('Financial Data'!F12 + 'Financial Data'!E12)/2)</f>
        <v>6.1245617490644078</v>
      </c>
      <c r="F4" s="16">
        <f>'Financial Data'!G5/ (('Financial Data'!G12 + 'Financial Data'!F12)/2)</f>
        <v>6.2131080971331114</v>
      </c>
    </row>
    <row r="5" spans="1:6" ht="15.75">
      <c r="A5" s="6" t="s">
        <v>26</v>
      </c>
      <c r="B5" s="16">
        <f xml:space="preserve"> 365 / B4</f>
        <v>54.176111035556161</v>
      </c>
      <c r="C5" s="16">
        <f t="shared" ref="C5:F5" si="0" xml:space="preserve"> 365 / C4</f>
        <v>59.779991462454817</v>
      </c>
      <c r="D5" s="16">
        <f t="shared" si="0"/>
        <v>60.814098432426519</v>
      </c>
      <c r="E5" s="16">
        <f t="shared" si="0"/>
        <v>59.596100905629314</v>
      </c>
      <c r="F5" s="16">
        <f t="shared" si="0"/>
        <v>58.746764790462997</v>
      </c>
    </row>
    <row r="6" spans="1:6" ht="15.75">
      <c r="A6" s="6" t="s">
        <v>27</v>
      </c>
      <c r="B6" s="16">
        <f>'Financial Data'!C4/ (('Financial Data'!C13 + 'Financial Data'!B13)/2)</f>
        <v>63.179487179487182</v>
      </c>
      <c r="C6" s="16">
        <f>'Financial Data'!D4/ (('Financial Data'!D13 + 'Financial Data'!C13)/2)</f>
        <v>62.417064439140809</v>
      </c>
      <c r="D6" s="16">
        <f>'Financial Data'!E4/ (('Financial Data'!E13 + 'Financial Data'!D13)/2)</f>
        <v>55.486333161423417</v>
      </c>
      <c r="E6" s="16">
        <f>'Financial Data'!F4/ (('Financial Data'!F13 + 'Financial Data'!E13)/2)</f>
        <v>53.91235668789809</v>
      </c>
      <c r="F6" s="16">
        <f>'Financial Data'!G4/ (('Financial Data'!G13 + 'Financial Data'!F13)/2)</f>
        <v>56.699122106943335</v>
      </c>
    </row>
    <row r="7" spans="1:6" ht="15.75">
      <c r="A7" s="6" t="s">
        <v>28</v>
      </c>
      <c r="B7" s="16">
        <f xml:space="preserve"> 365 / B6</f>
        <v>5.7771915584415581</v>
      </c>
      <c r="C7" s="16">
        <f t="shared" ref="C7:F7" si="1" xml:space="preserve"> 365 / C6</f>
        <v>5.8477597958149721</v>
      </c>
      <c r="D7" s="16">
        <f t="shared" si="1"/>
        <v>6.5781964531360373</v>
      </c>
      <c r="E7" s="16">
        <f t="shared" si="1"/>
        <v>6.7702475355141161</v>
      </c>
      <c r="F7" s="16">
        <f t="shared" si="1"/>
        <v>6.4374894431619838</v>
      </c>
    </row>
    <row r="8" spans="1:6" ht="15.75">
      <c r="A8" s="6" t="s">
        <v>29</v>
      </c>
      <c r="B8" s="16">
        <f>'Financial Data'!C5/ (('Financial Data'!C18 + 'Financial Data'!B18)/2)</f>
        <v>5.8103516396681156</v>
      </c>
      <c r="C8" s="16">
        <f>'Financial Data'!D5/ (('Financial Data'!D18 + 'Financial Data'!C18)/2)</f>
        <v>5.2908211878462783</v>
      </c>
      <c r="D8" s="16">
        <f>'Financial Data'!E5/ (('Financial Data'!E18 + 'Financial Data'!D18)/2)</f>
        <v>5.6778180562748144</v>
      </c>
      <c r="E8" s="16">
        <f>'Financial Data'!F5/ (('Financial Data'!F18 + 'Financial Data'!E18)/2)</f>
        <v>6.0766855579441081</v>
      </c>
      <c r="F8" s="16">
        <f>'Financial Data'!G5/ (('Financial Data'!G18 + 'Financial Data'!F18)/2)</f>
        <v>6.0834161663552146</v>
      </c>
    </row>
    <row r="9" spans="1:6" ht="15.75">
      <c r="A9" s="6" t="s">
        <v>30</v>
      </c>
      <c r="B9" s="16">
        <f xml:space="preserve"> 365 / B8</f>
        <v>62.818917448660407</v>
      </c>
      <c r="C9" s="16">
        <f t="shared" ref="C9:F9" si="2" xml:space="preserve"> 365 / C8</f>
        <v>68.987400450889112</v>
      </c>
      <c r="D9" s="16">
        <f t="shared" si="2"/>
        <v>64.285258242225979</v>
      </c>
      <c r="E9" s="16">
        <f t="shared" si="2"/>
        <v>60.065638828856642</v>
      </c>
      <c r="F9" s="16">
        <f t="shared" si="2"/>
        <v>59.999183027894695</v>
      </c>
    </row>
    <row r="10" spans="1:6" ht="15.75">
      <c r="A10" s="6" t="s">
        <v>31</v>
      </c>
      <c r="B10" s="16">
        <f xml:space="preserve"> B5 + B7</f>
        <v>59.953302593997719</v>
      </c>
      <c r="C10" s="16">
        <f t="shared" ref="C10:F10" si="3" xml:space="preserve"> C5 + C7</f>
        <v>65.627751258269782</v>
      </c>
      <c r="D10" s="16">
        <f t="shared" si="3"/>
        <v>67.392294885562563</v>
      </c>
      <c r="E10" s="16">
        <f t="shared" si="3"/>
        <v>66.36634844114343</v>
      </c>
      <c r="F10" s="16">
        <f t="shared" si="3"/>
        <v>65.184254233624983</v>
      </c>
    </row>
    <row r="11" spans="1:6" ht="15.75">
      <c r="A11" s="6" t="s">
        <v>32</v>
      </c>
      <c r="B11" s="16">
        <f xml:space="preserve"> B10 - B9</f>
        <v>-2.8656148546626881</v>
      </c>
      <c r="C11" s="16">
        <f t="shared" ref="C11:F11" si="4" xml:space="preserve"> C10 - C9</f>
        <v>-3.3596491926193295</v>
      </c>
      <c r="D11" s="16">
        <f t="shared" si="4"/>
        <v>3.1070366433365848</v>
      </c>
      <c r="E11" s="16">
        <f t="shared" si="4"/>
        <v>6.3007096122867878</v>
      </c>
      <c r="F11" s="16">
        <f t="shared" si="4"/>
        <v>5.1850712057302886</v>
      </c>
    </row>
    <row r="13" spans="1:6">
      <c r="A13" s="27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D5F5-80A0-4D9A-BB92-D64F4300DC0C}">
  <dimension ref="A1:F10"/>
  <sheetViews>
    <sheetView workbookViewId="0">
      <selection activeCell="D17" sqref="D17"/>
    </sheetView>
  </sheetViews>
  <sheetFormatPr defaultRowHeight="15"/>
  <cols>
    <col min="1" max="1" width="26.42578125" customWidth="1"/>
  </cols>
  <sheetData>
    <row r="1" spans="1:6" ht="18.75">
      <c r="A1" s="9" t="s">
        <v>33</v>
      </c>
      <c r="B1" s="6">
        <v>2020</v>
      </c>
      <c r="C1" s="6">
        <v>2021</v>
      </c>
      <c r="D1" s="6">
        <v>2022</v>
      </c>
      <c r="E1" s="6">
        <v>2023</v>
      </c>
      <c r="F1" s="6">
        <v>2024</v>
      </c>
    </row>
    <row r="2" spans="1:6" ht="15.75">
      <c r="A2" s="5"/>
      <c r="B2" s="5"/>
      <c r="C2" s="5"/>
      <c r="D2" s="5"/>
      <c r="E2" s="5"/>
      <c r="F2" s="5"/>
    </row>
    <row r="3" spans="1:6" ht="15.75">
      <c r="A3" s="6" t="s">
        <v>34</v>
      </c>
      <c r="B3" s="7">
        <f>'Financial Data'!C6/'Financial Data'!C4</f>
        <v>0.28379870129870127</v>
      </c>
      <c r="C3" s="7">
        <f>'Financial Data'!D6/'Financial Data'!D4</f>
        <v>0.2834118782919578</v>
      </c>
      <c r="D3" s="7">
        <f>'Financial Data'!E6/'Financial Data'!E4</f>
        <v>0.23570472543406329</v>
      </c>
      <c r="E3" s="7">
        <f>'Financial Data'!F6/'Financial Data'!F4</f>
        <v>0.26527603187055188</v>
      </c>
      <c r="F3" s="7">
        <f>'Financial Data'!G6/'Financial Data'!G4</f>
        <v>0.28211624720830286</v>
      </c>
    </row>
    <row r="4" spans="1:6" ht="15.75">
      <c r="A4" s="6" t="s">
        <v>35</v>
      </c>
      <c r="B4" s="7">
        <f>'Financial Data'!C7/'Financial Data'!C4</f>
        <v>7.0768398268398272E-2</v>
      </c>
      <c r="C4" s="7">
        <f>'Financial Data'!D7/'Financial Data'!D4</f>
        <v>8.5516819454933043E-2</v>
      </c>
      <c r="D4" s="7">
        <f>'Financial Data'!E7/'Financial Data'!E4</f>
        <v>3.5766070565490575E-2</v>
      </c>
      <c r="E4" s="7">
        <f>'Financial Data'!F7/'Financial Data'!F4</f>
        <v>5.3939869379885257E-2</v>
      </c>
      <c r="F4" s="7">
        <f>'Financial Data'!G7/'Financial Data'!G4</f>
        <v>5.2230542574554735E-2</v>
      </c>
    </row>
    <row r="5" spans="1:6" ht="15.75">
      <c r="A5" s="6" t="s">
        <v>36</v>
      </c>
      <c r="B5" s="7">
        <f>'Financial Data'!C8/'Financial Data'!C4</f>
        <v>4.7272727272727272E-2</v>
      </c>
      <c r="C5" s="7">
        <f>'Financial Data'!D8/'Financial Data'!D4</f>
        <v>6.6398371108200863E-2</v>
      </c>
      <c r="D5" s="7">
        <f>'Financial Data'!E8/'Financial Data'!E4</f>
        <v>2.5839312934528014E-2</v>
      </c>
      <c r="E5" s="7">
        <f>'Financial Data'!F8/'Financial Data'!F4</f>
        <v>3.9110422199748592E-2</v>
      </c>
      <c r="F5" s="7">
        <f>'Financial Data'!G8/'Financial Data'!G4</f>
        <v>3.8389354953737589E-2</v>
      </c>
    </row>
    <row r="6" spans="1:6" ht="15.75">
      <c r="A6" s="6" t="s">
        <v>37</v>
      </c>
      <c r="B6" s="8">
        <f>'Financial Data'!C7/'Financial Data'!C16</f>
        <v>0.12759522322822353</v>
      </c>
      <c r="C6" s="8">
        <f>'Financial Data'!D7/'Financial Data'!D16</f>
        <v>0.16624853654457267</v>
      </c>
      <c r="D6" s="8">
        <f>'Financial Data'!E7/'Financial Data'!E16</f>
        <v>7.2147745382956777E-2</v>
      </c>
      <c r="E6" s="8">
        <f>'Financial Data'!F7/'Financial Data'!F16</f>
        <v>0.10309632198858298</v>
      </c>
      <c r="F6" s="8">
        <f>'Financial Data'!G7/'Financial Data'!G16</f>
        <v>9.6349253059599432E-2</v>
      </c>
    </row>
    <row r="7" spans="1:6" ht="15.75">
      <c r="A7" s="6" t="s">
        <v>38</v>
      </c>
      <c r="B7" s="7">
        <f>'Financial Data'!C8/'Financial Data'!C17</f>
        <v>0.30249307479224374</v>
      </c>
      <c r="C7" s="7">
        <f>'Financial Data'!D8/'Financial Data'!D17</f>
        <v>0.54151399391907695</v>
      </c>
      <c r="D7" s="7">
        <f>'Financial Data'!E8/'Financial Data'!E17</f>
        <v>0.24750712250712251</v>
      </c>
      <c r="E7" s="7">
        <f>'Financial Data'!F8/'Financial Data'!F17</f>
        <v>0.30807027992852887</v>
      </c>
      <c r="F7" s="7">
        <f>'Financial Data'!G8/'Financial Data'!G17</f>
        <v>0.27894449747715805</v>
      </c>
    </row>
    <row r="8" spans="1:6" ht="15.75">
      <c r="A8" s="6" t="s">
        <v>39</v>
      </c>
      <c r="B8" s="7">
        <f>'Financial Data'!C8/'Financial Data'!C16</f>
        <v>8.5232594442709961E-2</v>
      </c>
      <c r="C8" s="7">
        <f>'Financial Data'!D8/'Financial Data'!D16</f>
        <v>0.12908141458066194</v>
      </c>
      <c r="D8" s="7">
        <f>'Financial Data'!E8/'Financial Data'!E16</f>
        <v>5.212337114465173E-2</v>
      </c>
      <c r="E8" s="7">
        <f>'Financial Data'!F8/'Financial Data'!F16</f>
        <v>7.4752511019582343E-2</v>
      </c>
      <c r="F8" s="7">
        <f>'Financial Data'!G8/'Financial Data'!G16</f>
        <v>7.0816527895584139E-2</v>
      </c>
    </row>
    <row r="10" spans="1:6">
      <c r="A10" s="27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7F79F-1F4B-4A61-A5BF-7A5B288101B3}">
  <dimension ref="A1:M20"/>
  <sheetViews>
    <sheetView workbookViewId="0">
      <selection activeCell="G16" sqref="G16"/>
    </sheetView>
  </sheetViews>
  <sheetFormatPr defaultRowHeight="15"/>
  <cols>
    <col min="1" max="1" width="22.7109375" style="19" customWidth="1"/>
    <col min="2" max="2" width="17.5703125" style="19" customWidth="1"/>
    <col min="3" max="3" width="13.42578125" style="19" customWidth="1"/>
    <col min="4" max="4" width="13" style="19" customWidth="1"/>
    <col min="5" max="5" width="12.85546875" style="19" customWidth="1"/>
    <col min="6" max="6" width="17" style="19" bestFit="1" customWidth="1"/>
    <col min="7" max="7" width="36.7109375" style="19" customWidth="1"/>
    <col min="8" max="16384" width="9.140625" style="19"/>
  </cols>
  <sheetData>
    <row r="1" spans="1:13" ht="15.75">
      <c r="A1" s="18" t="s">
        <v>40</v>
      </c>
    </row>
    <row r="2" spans="1:13" ht="16.5" customHeight="1"/>
    <row r="3" spans="1:13">
      <c r="B3" s="20" t="s">
        <v>41</v>
      </c>
      <c r="C3" s="20" t="s">
        <v>42</v>
      </c>
      <c r="D3" s="20" t="s">
        <v>43</v>
      </c>
      <c r="E3" s="20" t="s">
        <v>44</v>
      </c>
      <c r="F3" s="20">
        <v>2024</v>
      </c>
    </row>
    <row r="4" spans="1:13">
      <c r="A4" s="20" t="s">
        <v>45</v>
      </c>
      <c r="B4" s="17" t="s">
        <v>46</v>
      </c>
      <c r="C4" s="19" t="s">
        <v>47</v>
      </c>
      <c r="D4" s="19" t="s">
        <v>48</v>
      </c>
      <c r="E4" s="19" t="s">
        <v>49</v>
      </c>
      <c r="F4" s="19" t="s">
        <v>50</v>
      </c>
    </row>
    <row r="5" spans="1:13">
      <c r="A5" s="20" t="s">
        <v>51</v>
      </c>
      <c r="B5" s="21">
        <v>181.17</v>
      </c>
      <c r="C5" s="21">
        <v>217.67</v>
      </c>
      <c r="D5" s="21">
        <v>168.51</v>
      </c>
      <c r="E5" s="21">
        <v>145.49</v>
      </c>
      <c r="F5" s="21">
        <v>137.91</v>
      </c>
    </row>
    <row r="6" spans="1:13">
      <c r="A6" s="20" t="s">
        <v>52</v>
      </c>
      <c r="B6" s="21">
        <v>8.64</v>
      </c>
      <c r="C6" s="21">
        <v>14.1</v>
      </c>
      <c r="D6" s="21">
        <v>5.98</v>
      </c>
      <c r="E6" s="21">
        <v>8.94</v>
      </c>
      <c r="F6" s="21">
        <v>8.86</v>
      </c>
    </row>
    <row r="7" spans="1:13">
      <c r="A7" s="20" t="s">
        <v>53</v>
      </c>
      <c r="B7" s="19">
        <v>500.9</v>
      </c>
      <c r="C7" s="19">
        <v>471.3</v>
      </c>
      <c r="D7" s="19">
        <v>460.3</v>
      </c>
      <c r="E7" s="19">
        <v>461.7</v>
      </c>
      <c r="F7" s="19">
        <v>455.6</v>
      </c>
    </row>
    <row r="8" spans="1:13">
      <c r="A8" s="20" t="s">
        <v>54</v>
      </c>
      <c r="B8" s="22">
        <v>14440</v>
      </c>
      <c r="C8" s="22">
        <v>12827</v>
      </c>
      <c r="D8" s="22">
        <v>11232</v>
      </c>
      <c r="E8" s="22">
        <v>13432</v>
      </c>
      <c r="F8" s="22">
        <v>14666</v>
      </c>
    </row>
    <row r="10" spans="1:13">
      <c r="A10" s="2" t="s">
        <v>55</v>
      </c>
      <c r="G10" s="2" t="s">
        <v>56</v>
      </c>
    </row>
    <row r="11" spans="1:13" ht="16.5" customHeight="1">
      <c r="I11" s="23"/>
      <c r="J11" s="23"/>
      <c r="K11" s="23"/>
      <c r="L11" s="23"/>
      <c r="M11" s="23"/>
    </row>
    <row r="12" spans="1:13">
      <c r="A12" s="2" t="s">
        <v>57</v>
      </c>
      <c r="B12" s="23">
        <f>B8/B7</f>
        <v>28.828109403074468</v>
      </c>
      <c r="C12" s="23">
        <f>C8/C7</f>
        <v>27.21621048164651</v>
      </c>
      <c r="D12" s="23">
        <f>D8/D7</f>
        <v>24.401477297414729</v>
      </c>
      <c r="E12" s="23">
        <f>E8/E7</f>
        <v>29.09248429716266</v>
      </c>
      <c r="F12" s="23">
        <f>F8/F7</f>
        <v>32.190517998244076</v>
      </c>
      <c r="G12" s="19" t="s">
        <v>58</v>
      </c>
      <c r="H12" s="23"/>
      <c r="I12" s="24"/>
      <c r="J12" s="23"/>
      <c r="K12" s="23"/>
      <c r="L12" s="23"/>
      <c r="M12" s="23"/>
    </row>
    <row r="13" spans="1:13">
      <c r="A13" s="20" t="s">
        <v>59</v>
      </c>
      <c r="B13" s="23">
        <f>B5*B7</f>
        <v>90748.052999999985</v>
      </c>
      <c r="C13" s="23">
        <f>C5*C7</f>
        <v>102587.871</v>
      </c>
      <c r="D13" s="23">
        <f>D5*D7</f>
        <v>77565.152999999991</v>
      </c>
      <c r="E13" s="23">
        <f>E5*E7</f>
        <v>67172.733000000007</v>
      </c>
      <c r="F13" s="23">
        <f>F5*F7</f>
        <v>62831.796000000002</v>
      </c>
      <c r="G13" s="23" t="s">
        <v>60</v>
      </c>
      <c r="H13" s="23"/>
      <c r="I13" s="23"/>
      <c r="J13" s="23"/>
      <c r="K13" s="23"/>
      <c r="L13" s="23"/>
      <c r="M13" s="23"/>
    </row>
    <row r="14" spans="1:13">
      <c r="A14" s="20" t="s">
        <v>61</v>
      </c>
      <c r="B14" s="23">
        <f>B5/B6</f>
        <v>20.968749999999996</v>
      </c>
      <c r="C14" s="23">
        <f>C5/C6</f>
        <v>15.437588652482269</v>
      </c>
      <c r="D14" s="23">
        <f>D5/D6</f>
        <v>28.178929765886284</v>
      </c>
      <c r="E14" s="23">
        <f>E5/E6</f>
        <v>16.27404921700224</v>
      </c>
      <c r="F14" s="23">
        <f>F5/F6</f>
        <v>15.565462753950339</v>
      </c>
      <c r="G14" s="23" t="s">
        <v>62</v>
      </c>
      <c r="H14" s="23"/>
      <c r="I14" s="23"/>
      <c r="J14" s="23"/>
      <c r="K14" s="23"/>
      <c r="L14" s="23"/>
      <c r="M14" s="23"/>
    </row>
    <row r="15" spans="1:13">
      <c r="A15" s="20" t="s">
        <v>63</v>
      </c>
      <c r="B15" s="23">
        <f>B5/B12</f>
        <v>6.284491204986149</v>
      </c>
      <c r="C15" s="23">
        <f>C5/C12</f>
        <v>7.9978070476338967</v>
      </c>
      <c r="D15" s="23">
        <f>D5/D12</f>
        <v>6.9057294337606834</v>
      </c>
      <c r="E15" s="23">
        <f>E5/E12</f>
        <v>5.0009479600952949</v>
      </c>
      <c r="F15" s="23">
        <f>F5/F12</f>
        <v>4.2841808264012</v>
      </c>
      <c r="G15" s="23" t="s">
        <v>64</v>
      </c>
      <c r="H15" s="23"/>
    </row>
    <row r="16" spans="1:13">
      <c r="A16" s="20" t="s">
        <v>65</v>
      </c>
      <c r="B16" s="23">
        <f>B13/B8</f>
        <v>6.284491204986149</v>
      </c>
      <c r="C16" s="23">
        <f>C13/C8</f>
        <v>7.9978070476338976</v>
      </c>
      <c r="D16" s="23">
        <f>D13/D8</f>
        <v>6.9057294337606834</v>
      </c>
      <c r="E16" s="23">
        <f>E13/E8</f>
        <v>5.0009479600952957</v>
      </c>
      <c r="F16" s="23">
        <f>F13/F8</f>
        <v>4.2841808264012</v>
      </c>
      <c r="G16" s="23" t="s">
        <v>66</v>
      </c>
    </row>
    <row r="18" spans="1:1">
      <c r="A18" s="2" t="s">
        <v>67</v>
      </c>
    </row>
    <row r="19" spans="1:1">
      <c r="A19" s="19" t="s">
        <v>68</v>
      </c>
    </row>
    <row r="20" spans="1:1">
      <c r="A20" s="19" t="s">
        <v>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CC059-9C41-4A20-9099-AF8F08CF22B6}">
  <dimension ref="A1:F9"/>
  <sheetViews>
    <sheetView tabSelected="1" workbookViewId="0">
      <selection activeCell="G13" sqref="G13"/>
    </sheetView>
  </sheetViews>
  <sheetFormatPr defaultRowHeight="15"/>
  <cols>
    <col min="1" max="1" width="17.42578125" customWidth="1"/>
    <col min="2" max="6" width="9.28515625" bestFit="1" customWidth="1"/>
  </cols>
  <sheetData>
    <row r="1" spans="1:6">
      <c r="A1" t="s">
        <v>70</v>
      </c>
      <c r="B1">
        <v>2020</v>
      </c>
      <c r="C1">
        <v>2021</v>
      </c>
      <c r="D1">
        <v>2022</v>
      </c>
      <c r="E1">
        <v>2023</v>
      </c>
      <c r="F1">
        <v>2024</v>
      </c>
    </row>
    <row r="2" spans="1:6">
      <c r="A2" t="s">
        <v>71</v>
      </c>
      <c r="B2" s="28">
        <f>'Financial Data'!C8/'Financial Data'!C4</f>
        <v>4.7272727272727272E-2</v>
      </c>
      <c r="C2" s="28">
        <f>'Financial Data'!D8/'Financial Data'!D4</f>
        <v>6.6398371108200863E-2</v>
      </c>
      <c r="D2" s="28">
        <f>'Financial Data'!E8/'Financial Data'!E4</f>
        <v>2.5839312934528014E-2</v>
      </c>
      <c r="E2" s="28">
        <f>'Financial Data'!F8/'Financial Data'!F4</f>
        <v>3.9110422199748592E-2</v>
      </c>
      <c r="F2" s="28">
        <f>'Financial Data'!G8/'Financial Data'!G4</f>
        <v>3.8389354953737589E-2</v>
      </c>
    </row>
    <row r="3" spans="1:6">
      <c r="A3" t="s">
        <v>24</v>
      </c>
      <c r="B3" s="29">
        <f>'Financial Data'!C4/'Financial Data'!C16</f>
        <v>1.8029971901342492</v>
      </c>
      <c r="C3" s="29">
        <f>'Financial Data'!D4/'Financial Data'!D16</f>
        <v>1.9440448978833325</v>
      </c>
      <c r="D3" s="29">
        <f>'Financial Data'!E4/'Financial Data'!E16</f>
        <v>2.0172119621261837</v>
      </c>
      <c r="E3" s="29">
        <f>'Financial Data'!F4/'Financial Data'!F16</f>
        <v>1.9113194594985188</v>
      </c>
      <c r="F3" s="29">
        <f>'Financial Data'!G4/'Financial Data'!G16</f>
        <v>1.8446917897142066</v>
      </c>
    </row>
    <row r="4" spans="1:6">
      <c r="A4" t="s">
        <v>72</v>
      </c>
      <c r="B4" s="28">
        <f>B2*B3</f>
        <v>8.5232594442709961E-2</v>
      </c>
      <c r="C4" s="28">
        <f t="shared" ref="C4:F4" si="0">C2*C3</f>
        <v>0.12908141458066197</v>
      </c>
      <c r="D4" s="28">
        <f t="shared" si="0"/>
        <v>5.212337114465173E-2</v>
      </c>
      <c r="E4" s="28">
        <f t="shared" si="0"/>
        <v>7.4752511019582343E-2</v>
      </c>
      <c r="F4" s="28">
        <f t="shared" si="0"/>
        <v>7.0816527895584139E-2</v>
      </c>
    </row>
    <row r="5" spans="1:6">
      <c r="A5" t="s">
        <v>73</v>
      </c>
      <c r="B5" s="28">
        <f>('Financial Data'!C16-'Financial Data'!C17)/'Financial Data'!C16</f>
        <v>0.7182329066500156</v>
      </c>
      <c r="C5" s="28">
        <f>('Financial Data'!D16-'Financial Data'!D17)/'Financial Data'!D16</f>
        <v>0.76162866328445855</v>
      </c>
      <c r="D5" s="28">
        <f>('Financial Data'!E16-'Financial Data'!E17)/'Financial Data'!E16</f>
        <v>0.78940658104434236</v>
      </c>
      <c r="E5" s="28">
        <f>('Financial Data'!F16-'Financial Data'!F17)/'Financial Data'!F16</f>
        <v>0.75735240985620345</v>
      </c>
      <c r="F5" s="28">
        <f>('Financial Data'!G16-'Financial Data'!G17)/'Financial Data'!G16</f>
        <v>0.74612681542003501</v>
      </c>
    </row>
    <row r="6" spans="1:6">
      <c r="A6" t="s">
        <v>74</v>
      </c>
      <c r="B6" s="28">
        <f>1-B5</f>
        <v>0.2817670933499844</v>
      </c>
      <c r="C6" s="28">
        <f t="shared" ref="C6:F6" si="1">1-C5</f>
        <v>0.23837133671554145</v>
      </c>
      <c r="D6" s="28">
        <f t="shared" si="1"/>
        <v>0.21059341895565764</v>
      </c>
      <c r="E6" s="28">
        <f t="shared" si="1"/>
        <v>0.24264759014379655</v>
      </c>
      <c r="F6" s="28">
        <f t="shared" si="1"/>
        <v>0.25387318457996499</v>
      </c>
    </row>
    <row r="7" spans="1:6">
      <c r="A7" t="s">
        <v>75</v>
      </c>
      <c r="B7" s="28">
        <f>B4/B6</f>
        <v>0.30249307479224374</v>
      </c>
      <c r="C7" s="28">
        <f t="shared" ref="C7:F7" si="2">C4/C6</f>
        <v>0.54151399391907695</v>
      </c>
      <c r="D7" s="28">
        <f t="shared" si="2"/>
        <v>0.24750712250712251</v>
      </c>
      <c r="E7" s="28">
        <f t="shared" si="2"/>
        <v>0.30807027992852887</v>
      </c>
      <c r="F7" s="28">
        <f t="shared" si="2"/>
        <v>0.2789444974771581</v>
      </c>
    </row>
    <row r="9" spans="1:6">
      <c r="A9" s="27" t="s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26B8F-4897-4DEE-BBD9-4F1552164917}">
  <dimension ref="A1:G18"/>
  <sheetViews>
    <sheetView workbookViewId="0">
      <selection activeCell="G15" sqref="G15"/>
    </sheetView>
  </sheetViews>
  <sheetFormatPr defaultRowHeight="15"/>
  <cols>
    <col min="1" max="1" width="22.28515625" style="19" customWidth="1"/>
    <col min="2" max="2" width="9.140625" style="19"/>
    <col min="3" max="3" width="9.28515625" style="19" bestFit="1" customWidth="1"/>
    <col min="4" max="4" width="9.140625" style="19"/>
    <col min="5" max="6" width="9.28515625" style="19" bestFit="1" customWidth="1"/>
    <col min="7" max="16384" width="9.140625" style="19"/>
  </cols>
  <sheetData>
    <row r="1" spans="1:7" ht="18.75">
      <c r="A1" s="25" t="s">
        <v>76</v>
      </c>
    </row>
    <row r="3" spans="1:7">
      <c r="B3" s="20">
        <v>2020</v>
      </c>
      <c r="C3" s="20">
        <v>2021</v>
      </c>
      <c r="D3" s="20">
        <v>2022</v>
      </c>
      <c r="E3" s="20">
        <v>2023</v>
      </c>
      <c r="F3" s="20">
        <v>2024</v>
      </c>
    </row>
    <row r="4" spans="1:7">
      <c r="A4" s="20" t="s">
        <v>77</v>
      </c>
      <c r="B4" s="22">
        <v>51248</v>
      </c>
      <c r="C4" s="22">
        <v>53811</v>
      </c>
      <c r="D4" s="22">
        <v>53335</v>
      </c>
      <c r="E4" s="22">
        <v>55356</v>
      </c>
      <c r="F4" s="22">
        <v>57769</v>
      </c>
    </row>
    <row r="5" spans="1:7">
      <c r="A5" s="20" t="s">
        <v>78</v>
      </c>
      <c r="B5" s="22">
        <v>20125</v>
      </c>
      <c r="C5" s="22">
        <v>21747</v>
      </c>
      <c r="D5" s="22">
        <v>19500</v>
      </c>
      <c r="E5" s="22">
        <v>19304</v>
      </c>
      <c r="F5" s="22">
        <v>20799</v>
      </c>
    </row>
    <row r="6" spans="1:7">
      <c r="A6" s="20" t="s">
        <v>79</v>
      </c>
      <c r="B6" s="22">
        <v>14440</v>
      </c>
      <c r="C6" s="22">
        <v>12827</v>
      </c>
      <c r="D6" s="22">
        <v>11232</v>
      </c>
      <c r="E6" s="22">
        <v>13432</v>
      </c>
      <c r="F6" s="22">
        <v>14666</v>
      </c>
    </row>
    <row r="7" spans="1:7">
      <c r="A7" s="20" t="s">
        <v>80</v>
      </c>
      <c r="B7" s="22">
        <v>6539</v>
      </c>
      <c r="C7" s="22">
        <v>8946</v>
      </c>
      <c r="D7" s="22">
        <v>3848</v>
      </c>
      <c r="E7" s="22">
        <v>5707</v>
      </c>
      <c r="F7" s="22">
        <v>5566</v>
      </c>
    </row>
    <row r="8" spans="1:7">
      <c r="A8" s="20" t="s">
        <v>81</v>
      </c>
      <c r="B8" s="19">
        <v>977</v>
      </c>
      <c r="C8" s="19">
        <v>421</v>
      </c>
      <c r="D8" s="19">
        <v>478</v>
      </c>
      <c r="E8" s="19">
        <v>502</v>
      </c>
      <c r="F8" s="19">
        <v>411</v>
      </c>
    </row>
    <row r="10" spans="1:7">
      <c r="A10" s="2" t="s">
        <v>55</v>
      </c>
      <c r="G10" s="2" t="s">
        <v>56</v>
      </c>
    </row>
    <row r="12" spans="1:7">
      <c r="A12" s="20" t="s">
        <v>82</v>
      </c>
      <c r="B12" s="22">
        <f>B4-B6</f>
        <v>36808</v>
      </c>
      <c r="C12" s="22">
        <f>C4-C6</f>
        <v>40984</v>
      </c>
      <c r="D12" s="22">
        <f>D4-D6</f>
        <v>42103</v>
      </c>
      <c r="E12" s="22">
        <f>E4-E6</f>
        <v>41924</v>
      </c>
      <c r="F12" s="22">
        <f>F4-F6</f>
        <v>43103</v>
      </c>
      <c r="G12" s="19" t="s">
        <v>83</v>
      </c>
    </row>
    <row r="13" spans="1:7">
      <c r="A13" s="20" t="s">
        <v>84</v>
      </c>
      <c r="B13" s="26">
        <f>B12/B4</f>
        <v>0.7182329066500156</v>
      </c>
      <c r="C13" s="26">
        <f>C12/C4</f>
        <v>0.76162866328445855</v>
      </c>
      <c r="D13" s="26">
        <f>D12/D4</f>
        <v>0.78940658104434236</v>
      </c>
      <c r="E13" s="26">
        <f>E12/E4</f>
        <v>0.75735240985620345</v>
      </c>
      <c r="F13" s="26">
        <f>F12/F4</f>
        <v>0.74612681542003501</v>
      </c>
      <c r="G13" s="19" t="s">
        <v>85</v>
      </c>
    </row>
    <row r="14" spans="1:7">
      <c r="A14" s="20" t="s">
        <v>86</v>
      </c>
      <c r="B14" s="23">
        <f>B5/B12</f>
        <v>0.54675613996957184</v>
      </c>
      <c r="C14" s="23">
        <f>C5/C12</f>
        <v>0.53062170603162206</v>
      </c>
      <c r="D14" s="23">
        <f>D5/D12</f>
        <v>0.46314989430681897</v>
      </c>
      <c r="E14" s="23">
        <f>E5/E12</f>
        <v>0.46045224692300352</v>
      </c>
      <c r="F14" s="23">
        <f>F5/F12</f>
        <v>0.48254181843491173</v>
      </c>
      <c r="G14" s="19" t="s">
        <v>87</v>
      </c>
    </row>
    <row r="15" spans="1:7">
      <c r="A15" s="20" t="s">
        <v>88</v>
      </c>
      <c r="B15" s="23">
        <f>B7/B8</f>
        <v>6.6929375639713404</v>
      </c>
      <c r="C15" s="23">
        <f>C7/C8</f>
        <v>21.24940617577197</v>
      </c>
      <c r="D15" s="23">
        <f>D7/D8</f>
        <v>8.05020920502092</v>
      </c>
      <c r="E15" s="23">
        <f>E7/E8</f>
        <v>11.368525896414342</v>
      </c>
      <c r="F15" s="23">
        <f>F7/F8</f>
        <v>13.54257907542579</v>
      </c>
      <c r="G15" s="19" t="s">
        <v>89</v>
      </c>
    </row>
    <row r="17" spans="1:1">
      <c r="A17" s="2" t="s">
        <v>67</v>
      </c>
    </row>
    <row r="18" spans="1:1">
      <c r="A18" s="1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Gould, Maleigha</dc:creator>
  <cp:keywords/>
  <dc:description/>
  <cp:lastModifiedBy/>
  <cp:revision/>
  <dcterms:created xsi:type="dcterms:W3CDTF">2026-09-19T12:31:40Z</dcterms:created>
  <dcterms:modified xsi:type="dcterms:W3CDTF">2026-10-13T17:09:45Z</dcterms:modified>
  <cp:category/>
  <cp:contentStatus/>
</cp:coreProperties>
</file>